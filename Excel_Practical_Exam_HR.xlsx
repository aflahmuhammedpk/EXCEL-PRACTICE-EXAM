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FLAH\Documents\ROUTE\"/>
    </mc:Choice>
  </mc:AlternateContent>
  <xr:revisionPtr revIDLastSave="0" documentId="13_ncr:1_{7FFD40B3-CE5B-407B-AFCA-07F4D350DB5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Instructions" sheetId="1" r:id="rId1"/>
    <sheet name="Employee Data" sheetId="2" r:id="rId2"/>
    <sheet name="HR Summary Task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3" l="1"/>
  <c r="B32" i="3"/>
  <c r="B13" i="3"/>
  <c r="B12" i="3"/>
  <c r="B11" i="3"/>
  <c r="B10" i="3"/>
  <c r="B9" i="3"/>
  <c r="B8" i="3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15" i="2"/>
  <c r="Q16" i="2"/>
  <c r="Q17" i="2"/>
  <c r="Q18" i="2"/>
  <c r="Q19" i="2"/>
  <c r="Q20" i="2"/>
  <c r="Q21" i="2"/>
  <c r="Q22" i="2"/>
  <c r="Q23" i="2"/>
  <c r="Q24" i="2"/>
  <c r="Q25" i="2"/>
  <c r="Q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14" i="2"/>
  <c r="L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</calcChain>
</file>

<file path=xl/sharedStrings.xml><?xml version="1.0" encoding="utf-8"?>
<sst xmlns="http://schemas.openxmlformats.org/spreadsheetml/2006/main" count="248" uniqueCount="145">
  <si>
    <t>HR EXECUTIVE — EXCEL PRACTICAL EXAMINATION</t>
  </si>
  <si>
    <t>Route Upskill Academy</t>
  </si>
  <si>
    <t>CANDIDATE DETAILS</t>
  </si>
  <si>
    <t>Student Name:</t>
  </si>
  <si>
    <t>Roll No. / Employee ID:</t>
  </si>
  <si>
    <t>Batch:</t>
  </si>
  <si>
    <t>Date of Exam:</t>
  </si>
  <si>
    <t>Start Time:</t>
  </si>
  <si>
    <t>End Time:</t>
  </si>
  <si>
    <t>EXAM OVERVIEW</t>
  </si>
  <si>
    <t>Duration:</t>
  </si>
  <si>
    <t>1 Hour (60 minutes)</t>
  </si>
  <si>
    <t>Total Marks:</t>
  </si>
  <si>
    <t>50</t>
  </si>
  <si>
    <t>Sheets to attempt:</t>
  </si>
  <si>
    <t>'Employee Data' and 'HR Summary Tasks'</t>
  </si>
  <si>
    <t>Mode:</t>
  </si>
  <si>
    <t>Practical (formulas must be typed into Excel, not typed as final numbers)</t>
  </si>
  <si>
    <t>INSTRUCTIONS TO CANDIDATES</t>
  </si>
  <si>
    <t>1.</t>
  </si>
  <si>
    <t>This is a practical HR-data exam. Read every task carefully before answering.</t>
  </si>
  <si>
    <t>2.</t>
  </si>
  <si>
    <t>Yellow-shaded cells are for your answers. Do not edit any other cell.</t>
  </si>
  <si>
    <t>3.</t>
  </si>
  <si>
    <t>Wherever a calculation is asked for, write a working formula in the cell — do not type the final number by hand.</t>
  </si>
  <si>
    <t>4.</t>
  </si>
  <si>
    <t>Do not delete, rename, or reorder any sheet, row, or column.</t>
  </si>
  <si>
    <t>5.</t>
  </si>
  <si>
    <t>Save the file using your name before submitting (e.g. HR_Exam_YourName.xlsx).</t>
  </si>
  <si>
    <t>6.</t>
  </si>
  <si>
    <t>You may use any built-in Excel feature except lookups that match a value from one table into another table, and except any dashboard/chart-building tools.</t>
  </si>
  <si>
    <t>7.</t>
  </si>
  <si>
    <t>Raise your hand if you have a doubt about what a task is asking for — do not discuss with other candidates.</t>
  </si>
  <si>
    <t>Good luck!</t>
  </si>
  <si>
    <t>EMPLOYEE MASTER DATA &amp; INDIVIDUAL TASKS</t>
  </si>
  <si>
    <t>SECTION A — TASKS ON EMPLOYEE DATA (Q1–Q8, 5 marks each = 40 marks)</t>
  </si>
  <si>
    <t>Fill in the yellow columns below for every employee row. Write a working formula in each cell — do not type the final answer by hand.</t>
  </si>
  <si>
    <t>Q1.</t>
  </si>
  <si>
    <t>Column L — Pull out just the first name from the Employee Name column.</t>
  </si>
  <si>
    <t>Q2.</t>
  </si>
  <si>
    <t>Column M — Work out each employee's completed years of service, counting from Date of Joining to today.</t>
  </si>
  <si>
    <t>Q3.</t>
  </si>
  <si>
    <t>Column N — Label each employee 'Senior' if years of service is 5 or more, otherwise 'Junior'.</t>
  </si>
  <si>
    <t>Q4.</t>
  </si>
  <si>
    <t>Q5.</t>
  </si>
  <si>
    <t>Column P — Work out what percentage of the 26 working days each employee was present.</t>
  </si>
  <si>
    <t>Q6.</t>
  </si>
  <si>
    <t>Column Q — Give a bonus of 10% of Gross Salary to employees with a Performance Rating of 4 or above, and 0 to everyone else.</t>
  </si>
  <si>
    <t>Q7.</t>
  </si>
  <si>
    <t>Column R — A small Department Reference Table is provided to the right of the data (columns T:U). For every employee, bring in the name of their Department Head from that table by matching on Department.</t>
  </si>
  <si>
    <t>Q8.</t>
  </si>
  <si>
    <t>(No column — formatting task) Apply a formatting rule so that any row where Attendance % (column P) is below 80% is highlighted automatically.</t>
  </si>
  <si>
    <t>DEPARTMENT REFERENCE TABLE</t>
  </si>
  <si>
    <t>Emp ID</t>
  </si>
  <si>
    <t>Employee Name</t>
  </si>
  <si>
    <t>Department</t>
  </si>
  <si>
    <t>Designation</t>
  </si>
  <si>
    <t>Gender</t>
  </si>
  <si>
    <t>Date of Joining</t>
  </si>
  <si>
    <t>Basic Salary</t>
  </si>
  <si>
    <t>HRA</t>
  </si>
  <si>
    <t>DA</t>
  </si>
  <si>
    <t>Days Present
(out of 26)</t>
  </si>
  <si>
    <t>Performance
Rating (1-5)</t>
  </si>
  <si>
    <t>First Name</t>
  </si>
  <si>
    <t>Years of
Service</t>
  </si>
  <si>
    <t>Experience
Category</t>
  </si>
  <si>
    <t>Gross
Salary</t>
  </si>
  <si>
    <t>Attendance %</t>
  </si>
  <si>
    <t>Bonus</t>
  </si>
  <si>
    <t>Department
Head</t>
  </si>
  <si>
    <t>Department Head</t>
  </si>
  <si>
    <t>Aarav Bhatt</t>
  </si>
  <si>
    <t>Sales</t>
  </si>
  <si>
    <t>Sales Executive</t>
  </si>
  <si>
    <t>Male</t>
  </si>
  <si>
    <t>Ramesh Kulkarni</t>
  </si>
  <si>
    <t>Diya Bansal</t>
  </si>
  <si>
    <t>Marketing</t>
  </si>
  <si>
    <t>Marketing Associate</t>
  </si>
  <si>
    <t>Anjali Deshmukh</t>
  </si>
  <si>
    <t>Kabir Khan</t>
  </si>
  <si>
    <t>Finance</t>
  </si>
  <si>
    <t>Accounts Executive</t>
  </si>
  <si>
    <t>Suresh Iyengar</t>
  </si>
  <si>
    <t>Meera Reddy</t>
  </si>
  <si>
    <t>Operations</t>
  </si>
  <si>
    <t>Ops Manager</t>
  </si>
  <si>
    <t>Fatima Sheikh</t>
  </si>
  <si>
    <t>Rohan Fernandes</t>
  </si>
  <si>
    <t>IT</t>
  </si>
  <si>
    <t>Software Engineer</t>
  </si>
  <si>
    <t>Female</t>
  </si>
  <si>
    <t>Nikhil Ranganathan</t>
  </si>
  <si>
    <t>Sneha Fernandes</t>
  </si>
  <si>
    <t>HR</t>
  </si>
  <si>
    <t>HR Manager</t>
  </si>
  <si>
    <t>Lakshmi Narayan</t>
  </si>
  <si>
    <t>Vikram Verma</t>
  </si>
  <si>
    <t>Sales Manager</t>
  </si>
  <si>
    <t>Anita D'Souza</t>
  </si>
  <si>
    <t>Farhan Reddy</t>
  </si>
  <si>
    <t>Priya Singh</t>
  </si>
  <si>
    <t>Ops Executive</t>
  </si>
  <si>
    <t>Sameer Nair</t>
  </si>
  <si>
    <t>IT Manager</t>
  </si>
  <si>
    <t>Neha Sen</t>
  </si>
  <si>
    <t>HR Executive</t>
  </si>
  <si>
    <t>Arjun Bhatt</t>
  </si>
  <si>
    <t>Kavya D'Souza</t>
  </si>
  <si>
    <t>Marketing Manager</t>
  </si>
  <si>
    <t>Ishaan Reddy</t>
  </si>
  <si>
    <t>Finance Manager</t>
  </si>
  <si>
    <t>Tanya Kapoor</t>
  </si>
  <si>
    <t>Yusuf Verma</t>
  </si>
  <si>
    <t>Pooja Iyer</t>
  </si>
  <si>
    <t>Rahul D'Souza</t>
  </si>
  <si>
    <t>Simran George</t>
  </si>
  <si>
    <t>Dev Joshi</t>
  </si>
  <si>
    <t>Alisha Bose</t>
  </si>
  <si>
    <t>Manav Kapoor</t>
  </si>
  <si>
    <t>Ritu Pillai</t>
  </si>
  <si>
    <t>Zoya Menon</t>
  </si>
  <si>
    <t>HR SUMMARY TASKS (Q9–Q13, 2 marks each = 10 marks)</t>
  </si>
  <si>
    <t>Refer to the data in the 'Employee Data' sheet to answer the questions below. Write a working formula in every yellow cell.</t>
  </si>
  <si>
    <t>Q9. Headcount by Department</t>
  </si>
  <si>
    <t>Find how many employees work in each department.</t>
  </si>
  <si>
    <t>No. of Employees</t>
  </si>
  <si>
    <t>Q10. Average Gross Salary by Department</t>
  </si>
  <si>
    <t>Find the average Gross Salary (from Employee Data, column O) for each department.</t>
  </si>
  <si>
    <t>Avg. Gross Salary</t>
  </si>
  <si>
    <t>Q11. Headcount by Gender</t>
  </si>
  <si>
    <t>Count how many employees are Male and how many are Female.</t>
  </si>
  <si>
    <t>Q12. Highest &amp; Lowest Gross Salary</t>
  </si>
  <si>
    <t>Find the highest and the lowest Gross Salary across the whole company.</t>
  </si>
  <si>
    <t>Highest Gross Salary</t>
  </si>
  <si>
    <t>Lowest Gross Salary</t>
  </si>
  <si>
    <t>Q13. Employees with Low Attendance</t>
  </si>
  <si>
    <t>Count how many employees have Attendance % below 80%.</t>
  </si>
  <si>
    <t>Count of employees below 80% attendance</t>
  </si>
  <si>
    <t>Q14. Sorting &amp; Filtering (Bonus — 2 marks)</t>
  </si>
  <si>
    <t>On the 'Employee Data' sheet: (a) turn on filter buttons for the data table, and (b) sort the whole table alphabetically A-Z by Employee Name. Do this directly on that sheet — nothing to write here.</t>
  </si>
  <si>
    <t>Column O — Add up Basic Salary, HRA(House rent allowence) and DA(Dearence Allowence) to get the Gross Salary.</t>
  </si>
  <si>
    <t>Muhammed Aflah .pk</t>
  </si>
  <si>
    <t>RADA05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</si>
</sst>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yy"/>
  </numFmts>
  <fonts count="13" x14ac:knownFonts="1">
    <font>
      <sz val="11"/>
      <color theme="1"/>
      <name val="Calibri"/>
      <family val="2"/>
      <charset val="1"/>
    </font>
    <font>
      <b/>
      <sz val="20"/>
      <color rgb="FF0B1F5C"/>
      <name val="Arial"/>
      <charset val="1"/>
    </font>
    <font>
      <i/>
      <sz val="11"/>
      <color rgb="FF555555"/>
      <name val="Arial"/>
      <charset val="1"/>
    </font>
    <font>
      <b/>
      <sz val="13"/>
      <color rgb="FFFFFFFF"/>
      <name val="Arial"/>
      <charset val="1"/>
    </font>
    <font>
      <b/>
      <sz val="11"/>
      <color rgb="FF0B1F5C"/>
      <name val="Arial"/>
      <charset val="1"/>
    </font>
    <font>
      <sz val="10.5"/>
      <color rgb="FF333333"/>
      <name val="Arial"/>
      <charset val="1"/>
    </font>
    <font>
      <b/>
      <sz val="10.5"/>
      <color rgb="FF0B1F5C"/>
      <name val="Arial"/>
      <charset val="1"/>
    </font>
    <font>
      <b/>
      <i/>
      <sz val="11"/>
      <color rgb="FF0B1F5C"/>
      <name val="Arial"/>
      <charset val="1"/>
    </font>
    <font>
      <b/>
      <sz val="14"/>
      <color rgb="FF0B1F5C"/>
      <name val="Arial"/>
      <charset val="1"/>
    </font>
    <font>
      <i/>
      <sz val="10"/>
      <color rgb="FF333333"/>
      <name val="Arial"/>
      <charset val="1"/>
    </font>
    <font>
      <b/>
      <sz val="10.5"/>
      <color rgb="FFFFFFFF"/>
      <name val="Arial"/>
      <charset val="1"/>
    </font>
    <font>
      <sz val="10.5"/>
      <color rgb="FF222222"/>
      <name val="Arial"/>
      <charset val="1"/>
    </font>
    <font>
      <sz val="10.5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1F5C"/>
        <bgColor rgb="FF222222"/>
      </patternFill>
    </fill>
    <fill>
      <patternFill patternType="solid">
        <fgColor rgb="FFFFF2A8"/>
        <bgColor rgb="FFF2F2F2"/>
      </patternFill>
    </fill>
    <fill>
      <patternFill patternType="solid">
        <fgColor rgb="FF1F3B8C"/>
        <bgColor rgb="FF0B1F5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 vertical="top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164" fontId="11" fillId="5" borderId="2" xfId="0" applyNumberFormat="1" applyFont="1" applyFill="1" applyBorder="1" applyAlignment="1">
      <alignment horizontal="center" vertical="center"/>
    </xf>
    <xf numFmtId="3" fontId="11" fillId="5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164" fontId="11" fillId="6" borderId="2" xfId="0" applyNumberFormat="1" applyFont="1" applyFill="1" applyBorder="1" applyAlignment="1">
      <alignment horizontal="center" vertical="center"/>
    </xf>
    <xf numFmtId="3" fontId="11" fillId="6" borderId="2" xfId="0" applyNumberFormat="1" applyFont="1" applyFill="1" applyBorder="1" applyAlignment="1">
      <alignment horizontal="center" vertical="center"/>
    </xf>
    <xf numFmtId="0" fontId="11" fillId="0" borderId="2" xfId="0" applyFont="1" applyBorder="1"/>
    <xf numFmtId="0" fontId="0" fillId="3" borderId="2" xfId="0" applyFill="1" applyBorder="1"/>
    <xf numFmtId="3" fontId="0" fillId="3" borderId="2" xfId="0" applyNumberFormat="1" applyFill="1" applyBorder="1"/>
    <xf numFmtId="164" fontId="11" fillId="3" borderId="2" xfId="0" applyNumberFormat="1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10" fontId="10" fillId="2" borderId="2" xfId="0" applyNumberFormat="1" applyFont="1" applyFill="1" applyBorder="1" applyAlignment="1">
      <alignment horizontal="center" vertical="center" wrapText="1"/>
    </xf>
    <xf numFmtId="10" fontId="10" fillId="4" borderId="2" xfId="0" applyNumberFormat="1" applyFont="1" applyFill="1" applyBorder="1" applyAlignment="1">
      <alignment horizontal="center" vertical="center" wrapText="1"/>
    </xf>
    <xf numFmtId="10" fontId="11" fillId="5" borderId="2" xfId="0" applyNumberFormat="1" applyFont="1" applyFill="1" applyBorder="1" applyAlignment="1">
      <alignment horizontal="left" vertical="center"/>
    </xf>
    <xf numFmtId="10" fontId="11" fillId="5" borderId="2" xfId="0" applyNumberFormat="1" applyFont="1" applyFill="1" applyBorder="1" applyAlignment="1">
      <alignment horizontal="center" vertical="center"/>
    </xf>
    <xf numFmtId="10" fontId="11" fillId="3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indent="1"/>
    </xf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0" fontId="5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vertical="top" wrapText="1"/>
    </xf>
    <xf numFmtId="10" fontId="5" fillId="0" borderId="0" xfId="0" applyNumberFormat="1" applyFont="1" applyAlignment="1">
      <alignment vertical="top" wrapText="1"/>
    </xf>
    <xf numFmtId="10" fontId="12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45D8B2-0788-4870-BAC1-B8E0F3AA613E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555555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F5C"/>
      <rgbColor rgb="FF339966"/>
      <rgbColor rgb="FF003300"/>
      <rgbColor rgb="FF222222"/>
      <rgbColor rgb="FF993300"/>
      <rgbColor rgb="FF993366"/>
      <rgbColor rgb="FF1F3B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925200</xdr:colOff>
      <xdr:row>4</xdr:row>
      <xdr:rowOff>142200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190440"/>
          <a:ext cx="247608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G32"/>
  <sheetViews>
    <sheetView showGridLines="0" tabSelected="1" topLeftCell="A9" zoomScaleNormal="100" workbookViewId="0">
      <selection activeCell="C12" sqref="C12:E12"/>
    </sheetView>
  </sheetViews>
  <sheetFormatPr defaultColWidth="8.6640625" defaultRowHeight="14.4" x14ac:dyDescent="0.3"/>
  <cols>
    <col min="1" max="1" width="3" customWidth="1"/>
    <col min="2" max="7" width="22" customWidth="1"/>
    <col min="8" max="8" width="3" customWidth="1"/>
  </cols>
  <sheetData>
    <row r="6" spans="2:7" ht="24.6" x14ac:dyDescent="0.4">
      <c r="B6" s="31" t="s">
        <v>0</v>
      </c>
      <c r="C6" s="31"/>
      <c r="D6" s="31"/>
      <c r="E6" s="31"/>
      <c r="F6" s="31"/>
      <c r="G6" s="31"/>
    </row>
    <row r="7" spans="2:7" x14ac:dyDescent="0.3">
      <c r="B7" s="32" t="s">
        <v>1</v>
      </c>
      <c r="C7" s="32"/>
      <c r="D7" s="32"/>
      <c r="E7" s="32"/>
      <c r="F7" s="32"/>
      <c r="G7" s="32"/>
    </row>
    <row r="9" spans="2:7" ht="21.75" customHeight="1" x14ac:dyDescent="0.3">
      <c r="B9" s="33" t="s">
        <v>2</v>
      </c>
      <c r="C9" s="33"/>
      <c r="D9" s="33"/>
      <c r="E9" s="33"/>
      <c r="F9" s="33"/>
      <c r="G9" s="33"/>
    </row>
    <row r="10" spans="2:7" x14ac:dyDescent="0.3">
      <c r="B10" s="1" t="s">
        <v>3</v>
      </c>
      <c r="C10" s="34" t="s">
        <v>143</v>
      </c>
      <c r="D10" s="34"/>
      <c r="E10" s="34"/>
    </row>
    <row r="11" spans="2:7" x14ac:dyDescent="0.3">
      <c r="B11" s="1" t="s">
        <v>4</v>
      </c>
      <c r="C11" s="34"/>
      <c r="D11" s="34"/>
      <c r="E11" s="34"/>
    </row>
    <row r="12" spans="2:7" x14ac:dyDescent="0.3">
      <c r="B12" s="1" t="s">
        <v>5</v>
      </c>
      <c r="C12" s="34" t="s">
        <v>144</v>
      </c>
      <c r="D12" s="34"/>
      <c r="E12" s="34"/>
    </row>
    <row r="13" spans="2:7" x14ac:dyDescent="0.3">
      <c r="B13" s="1" t="s">
        <v>6</v>
      </c>
      <c r="C13" s="35">
        <v>46232</v>
      </c>
      <c r="D13" s="34"/>
      <c r="E13" s="34"/>
    </row>
    <row r="14" spans="2:7" x14ac:dyDescent="0.3">
      <c r="B14" s="1" t="s">
        <v>7</v>
      </c>
      <c r="C14" s="36">
        <v>0.39583333333333331</v>
      </c>
      <c r="D14" s="34"/>
      <c r="E14" s="34"/>
    </row>
    <row r="15" spans="2:7" x14ac:dyDescent="0.3">
      <c r="B15" s="1" t="s">
        <v>8</v>
      </c>
      <c r="C15" s="36">
        <v>0.4375</v>
      </c>
      <c r="D15" s="34"/>
      <c r="E15" s="34"/>
    </row>
    <row r="17" spans="2:7" ht="21.75" customHeight="1" x14ac:dyDescent="0.3">
      <c r="B17" s="33" t="s">
        <v>9</v>
      </c>
      <c r="C17" s="33"/>
      <c r="D17" s="33"/>
      <c r="E17" s="33"/>
      <c r="F17" s="33"/>
      <c r="G17" s="33"/>
    </row>
    <row r="18" spans="2:7" x14ac:dyDescent="0.3">
      <c r="B18" s="1" t="s">
        <v>10</v>
      </c>
      <c r="C18" s="37" t="s">
        <v>11</v>
      </c>
      <c r="D18" s="37"/>
      <c r="E18" s="37"/>
      <c r="F18" s="37"/>
      <c r="G18" s="37"/>
    </row>
    <row r="19" spans="2:7" x14ac:dyDescent="0.3">
      <c r="B19" s="1" t="s">
        <v>12</v>
      </c>
      <c r="C19" s="37" t="s">
        <v>13</v>
      </c>
      <c r="D19" s="37"/>
      <c r="E19" s="37"/>
      <c r="F19" s="37"/>
      <c r="G19" s="37"/>
    </row>
    <row r="20" spans="2:7" x14ac:dyDescent="0.3">
      <c r="B20" s="1" t="s">
        <v>14</v>
      </c>
      <c r="C20" s="37" t="s">
        <v>15</v>
      </c>
      <c r="D20" s="37"/>
      <c r="E20" s="37"/>
      <c r="F20" s="37"/>
      <c r="G20" s="37"/>
    </row>
    <row r="21" spans="2:7" x14ac:dyDescent="0.3">
      <c r="B21" s="1" t="s">
        <v>16</v>
      </c>
      <c r="C21" s="37" t="s">
        <v>17</v>
      </c>
      <c r="D21" s="37"/>
      <c r="E21" s="37"/>
      <c r="F21" s="37"/>
      <c r="G21" s="37"/>
    </row>
    <row r="23" spans="2:7" ht="21.75" customHeight="1" x14ac:dyDescent="0.3">
      <c r="B23" s="33" t="s">
        <v>18</v>
      </c>
      <c r="C23" s="33"/>
      <c r="D23" s="33"/>
      <c r="E23" s="33"/>
      <c r="F23" s="33"/>
      <c r="G23" s="33"/>
    </row>
    <row r="24" spans="2:7" ht="15.75" customHeight="1" x14ac:dyDescent="0.3">
      <c r="B24" s="2" t="s">
        <v>19</v>
      </c>
      <c r="C24" s="37" t="s">
        <v>20</v>
      </c>
      <c r="D24" s="37"/>
      <c r="E24" s="37"/>
      <c r="F24" s="37"/>
      <c r="G24" s="37"/>
    </row>
    <row r="25" spans="2:7" ht="15.75" customHeight="1" x14ac:dyDescent="0.3">
      <c r="B25" s="2" t="s">
        <v>21</v>
      </c>
      <c r="C25" s="37" t="s">
        <v>22</v>
      </c>
      <c r="D25" s="37"/>
      <c r="E25" s="37"/>
      <c r="F25" s="37"/>
      <c r="G25" s="37"/>
    </row>
    <row r="26" spans="2:7" ht="15.75" customHeight="1" x14ac:dyDescent="0.3">
      <c r="B26" s="2" t="s">
        <v>23</v>
      </c>
      <c r="C26" s="37" t="s">
        <v>24</v>
      </c>
      <c r="D26" s="37"/>
      <c r="E26" s="37"/>
      <c r="F26" s="37"/>
      <c r="G26" s="37"/>
    </row>
    <row r="27" spans="2:7" ht="15.75" customHeight="1" x14ac:dyDescent="0.3">
      <c r="B27" s="2" t="s">
        <v>25</v>
      </c>
      <c r="C27" s="37" t="s">
        <v>26</v>
      </c>
      <c r="D27" s="37"/>
      <c r="E27" s="37"/>
      <c r="F27" s="37"/>
      <c r="G27" s="37"/>
    </row>
    <row r="28" spans="2:7" ht="15.75" customHeight="1" x14ac:dyDescent="0.3">
      <c r="B28" s="2" t="s">
        <v>27</v>
      </c>
      <c r="C28" s="37" t="s">
        <v>28</v>
      </c>
      <c r="D28" s="37"/>
      <c r="E28" s="37"/>
      <c r="F28" s="37"/>
      <c r="G28" s="37"/>
    </row>
    <row r="29" spans="2:7" ht="15.75" customHeight="1" x14ac:dyDescent="0.3">
      <c r="B29" s="2" t="s">
        <v>29</v>
      </c>
      <c r="C29" s="37" t="s">
        <v>30</v>
      </c>
      <c r="D29" s="37"/>
      <c r="E29" s="37"/>
      <c r="F29" s="37"/>
      <c r="G29" s="37"/>
    </row>
    <row r="30" spans="2:7" ht="15.75" customHeight="1" x14ac:dyDescent="0.3">
      <c r="B30" s="2" t="s">
        <v>31</v>
      </c>
      <c r="C30" s="37" t="s">
        <v>32</v>
      </c>
      <c r="D30" s="37"/>
      <c r="E30" s="37"/>
      <c r="F30" s="37"/>
      <c r="G30" s="37"/>
    </row>
    <row r="32" spans="2:7" x14ac:dyDescent="0.3">
      <c r="B32" s="3" t="s">
        <v>33</v>
      </c>
    </row>
  </sheetData>
  <mergeCells count="22">
    <mergeCell ref="C29:G29"/>
    <mergeCell ref="C30:G30"/>
    <mergeCell ref="C24:G24"/>
    <mergeCell ref="C25:G25"/>
    <mergeCell ref="C26:G26"/>
    <mergeCell ref="C27:G27"/>
    <mergeCell ref="C28:G28"/>
    <mergeCell ref="C18:G18"/>
    <mergeCell ref="C19:G19"/>
    <mergeCell ref="C20:G20"/>
    <mergeCell ref="C21:G21"/>
    <mergeCell ref="B23:G23"/>
    <mergeCell ref="C12:E12"/>
    <mergeCell ref="C13:E13"/>
    <mergeCell ref="C14:E14"/>
    <mergeCell ref="C15:E15"/>
    <mergeCell ref="B17:G17"/>
    <mergeCell ref="B6:G6"/>
    <mergeCell ref="B7:G7"/>
    <mergeCell ref="B9:G9"/>
    <mergeCell ref="C10:E10"/>
    <mergeCell ref="C11:E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8"/>
  <sheetViews>
    <sheetView showGridLines="0" zoomScaleNormal="100" workbookViewId="0">
      <pane ySplit="13" topLeftCell="A25" activePane="bottomLeft" state="frozen"/>
      <selection pane="bottomLeft" activeCell="T23" sqref="T23"/>
    </sheetView>
  </sheetViews>
  <sheetFormatPr defaultColWidth="8.6640625" defaultRowHeight="14.4" x14ac:dyDescent="0.3"/>
  <cols>
    <col min="1" max="1" width="7" customWidth="1"/>
    <col min="2" max="2" width="20" customWidth="1"/>
    <col min="3" max="3" width="13" customWidth="1"/>
    <col min="4" max="4" width="18" customWidth="1"/>
    <col min="5" max="5" width="10" customWidth="1"/>
    <col min="6" max="6" width="14" customWidth="1"/>
    <col min="7" max="7" width="12" customWidth="1"/>
    <col min="8" max="9" width="10" customWidth="1"/>
    <col min="10" max="11" width="12" customWidth="1"/>
    <col min="12" max="12" width="13" customWidth="1"/>
    <col min="13" max="13" width="10" customWidth="1"/>
    <col min="14" max="15" width="12" customWidth="1"/>
    <col min="16" max="17" width="11" customWidth="1"/>
    <col min="18" max="18" width="16" customWidth="1"/>
    <col min="20" max="20" width="14" customWidth="1"/>
    <col min="21" max="21" width="20" customWidth="1"/>
  </cols>
  <sheetData>
    <row r="1" spans="1:21" ht="21.75" customHeight="1" x14ac:dyDescent="0.3">
      <c r="A1" s="38" t="s">
        <v>34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1" ht="19.5" customHeight="1" x14ac:dyDescent="0.3">
      <c r="A2" s="33" t="s">
        <v>35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21" ht="15" customHeight="1" x14ac:dyDescent="0.3">
      <c r="A3" s="39" t="s">
        <v>36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21" ht="15.75" customHeight="1" x14ac:dyDescent="0.3">
      <c r="A4" s="4" t="s">
        <v>37</v>
      </c>
      <c r="B4" s="40" t="s">
        <v>38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21" ht="15.75" customHeight="1" x14ac:dyDescent="0.3">
      <c r="A5" s="4" t="s">
        <v>39</v>
      </c>
      <c r="B5" s="40" t="s">
        <v>40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21" ht="15.75" customHeight="1" x14ac:dyDescent="0.3">
      <c r="A6" s="4" t="s">
        <v>41</v>
      </c>
      <c r="B6" s="40" t="s">
        <v>42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21" ht="15.75" customHeight="1" x14ac:dyDescent="0.3">
      <c r="A7" s="4" t="s">
        <v>43</v>
      </c>
      <c r="B7" s="40" t="s">
        <v>142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1:21" ht="15.75" customHeight="1" x14ac:dyDescent="0.3">
      <c r="A8" s="4" t="s">
        <v>44</v>
      </c>
      <c r="B8" s="41" t="s">
        <v>45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</row>
    <row r="9" spans="1:21" ht="15.75" customHeight="1" x14ac:dyDescent="0.3">
      <c r="A9" s="4" t="s">
        <v>46</v>
      </c>
      <c r="B9" s="42" t="s">
        <v>47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</row>
    <row r="10" spans="1:21" ht="15.75" customHeight="1" x14ac:dyDescent="0.3">
      <c r="A10" s="4" t="s">
        <v>48</v>
      </c>
      <c r="B10" s="41" t="s">
        <v>49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</row>
    <row r="11" spans="1:21" ht="15.75" customHeight="1" x14ac:dyDescent="0.3">
      <c r="A11" s="4" t="s">
        <v>50</v>
      </c>
      <c r="B11" s="41" t="s">
        <v>51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</row>
    <row r="12" spans="1:21" ht="19.5" customHeight="1" x14ac:dyDescent="0.3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T12" s="33" t="s">
        <v>52</v>
      </c>
      <c r="U12" s="33"/>
    </row>
    <row r="13" spans="1:21" ht="31.5" customHeight="1" x14ac:dyDescent="0.3">
      <c r="A13" s="5" t="s">
        <v>53</v>
      </c>
      <c r="B13" s="23" t="s">
        <v>54</v>
      </c>
      <c r="C13" s="23" t="s">
        <v>55</v>
      </c>
      <c r="D13" s="23" t="s">
        <v>56</v>
      </c>
      <c r="E13" s="5" t="s">
        <v>57</v>
      </c>
      <c r="F13" s="5" t="s">
        <v>58</v>
      </c>
      <c r="G13" s="5" t="s">
        <v>59</v>
      </c>
      <c r="H13" s="5" t="s">
        <v>60</v>
      </c>
      <c r="I13" s="5" t="s">
        <v>61</v>
      </c>
      <c r="J13" s="5" t="s">
        <v>62</v>
      </c>
      <c r="K13" s="5" t="s">
        <v>63</v>
      </c>
      <c r="L13" s="28" t="s">
        <v>64</v>
      </c>
      <c r="M13" s="28" t="s">
        <v>65</v>
      </c>
      <c r="N13" s="28" t="s">
        <v>66</v>
      </c>
      <c r="O13" s="28" t="s">
        <v>67</v>
      </c>
      <c r="P13" s="24" t="s">
        <v>68</v>
      </c>
      <c r="Q13" s="24" t="s">
        <v>69</v>
      </c>
      <c r="R13" s="24" t="s">
        <v>70</v>
      </c>
      <c r="T13" s="6" t="s">
        <v>55</v>
      </c>
      <c r="U13" s="6" t="s">
        <v>71</v>
      </c>
    </row>
    <row r="14" spans="1:21" x14ac:dyDescent="0.3">
      <c r="A14" s="7">
        <v>1</v>
      </c>
      <c r="B14" s="25" t="s">
        <v>72</v>
      </c>
      <c r="C14" s="26" t="s">
        <v>73</v>
      </c>
      <c r="D14" s="26" t="s">
        <v>74</v>
      </c>
      <c r="E14" s="7" t="s">
        <v>75</v>
      </c>
      <c r="F14" s="29">
        <v>44905</v>
      </c>
      <c r="G14" s="7">
        <v>32000</v>
      </c>
      <c r="H14" s="7">
        <v>12800</v>
      </c>
      <c r="I14" s="7">
        <v>3200</v>
      </c>
      <c r="J14" s="7">
        <v>18</v>
      </c>
      <c r="K14" s="7">
        <v>2</v>
      </c>
      <c r="L14" s="11" t="str">
        <f t="shared" ref="L14:L38" si="0">LEFT(B14,5)</f>
        <v>Aarav</v>
      </c>
      <c r="M14" s="11" t="str">
        <f>RIGHT(F14)</f>
        <v>5</v>
      </c>
      <c r="N14" s="11" t="str">
        <f>IF(AND(M14&gt;5),"Senior","Junior")</f>
        <v>Senior</v>
      </c>
      <c r="O14" s="11">
        <f>SUM(G14,H14,I14)</f>
        <v>48000</v>
      </c>
      <c r="P14" s="27">
        <f>J14/26</f>
        <v>0.69230769230769229</v>
      </c>
      <c r="Q14" s="30">
        <f>IF(P14&gt;=80%,O14*10%,0)</f>
        <v>0</v>
      </c>
      <c r="R14" s="12" t="s">
        <v>76</v>
      </c>
      <c r="T14" s="12" t="s">
        <v>73</v>
      </c>
      <c r="U14" s="12" t="s">
        <v>76</v>
      </c>
    </row>
    <row r="15" spans="1:21" x14ac:dyDescent="0.3">
      <c r="A15" s="13">
        <v>2</v>
      </c>
      <c r="B15" s="14" t="s">
        <v>77</v>
      </c>
      <c r="C15" s="13" t="s">
        <v>78</v>
      </c>
      <c r="D15" s="13" t="s">
        <v>79</v>
      </c>
      <c r="E15" s="13" t="s">
        <v>75</v>
      </c>
      <c r="F15" s="15">
        <v>43613</v>
      </c>
      <c r="G15" s="16">
        <v>45000</v>
      </c>
      <c r="H15" s="16">
        <v>18000</v>
      </c>
      <c r="I15" s="16">
        <v>4500</v>
      </c>
      <c r="J15" s="13">
        <v>15</v>
      </c>
      <c r="K15" s="13">
        <v>1</v>
      </c>
      <c r="L15" s="11" t="str">
        <f t="shared" si="0"/>
        <v xml:space="preserve">Diya </v>
      </c>
      <c r="M15" s="20" t="str">
        <f t="shared" ref="M15:M38" si="1">RIGHT(F15)</f>
        <v>3</v>
      </c>
      <c r="N15" s="11" t="str">
        <f t="shared" ref="N15:N38" si="2">IF(AND(M15&gt;5),"Senior","Junior")</f>
        <v>Senior</v>
      </c>
      <c r="O15" s="21">
        <f t="shared" ref="O15:O38" si="3">SUM(G15,H15,I15)</f>
        <v>67500</v>
      </c>
      <c r="P15" s="27">
        <f t="shared" ref="P15:P38" si="4">J15/26</f>
        <v>0.57692307692307687</v>
      </c>
      <c r="Q15" s="30">
        <f t="shared" ref="Q15:Q38" si="5">IF(P15&gt;=80%,O15*10%,0)</f>
        <v>0</v>
      </c>
      <c r="R15" s="12" t="s">
        <v>80</v>
      </c>
      <c r="T15" s="12" t="s">
        <v>78</v>
      </c>
      <c r="U15" s="12" t="s">
        <v>80</v>
      </c>
    </row>
    <row r="16" spans="1:21" x14ac:dyDescent="0.3">
      <c r="A16" s="7">
        <v>3</v>
      </c>
      <c r="B16" s="8" t="s">
        <v>81</v>
      </c>
      <c r="C16" s="7" t="s">
        <v>82</v>
      </c>
      <c r="D16" s="7" t="s">
        <v>83</v>
      </c>
      <c r="E16" s="7" t="s">
        <v>75</v>
      </c>
      <c r="F16" s="9">
        <v>43962</v>
      </c>
      <c r="G16" s="10">
        <v>60000</v>
      </c>
      <c r="H16" s="10">
        <v>24000</v>
      </c>
      <c r="I16" s="10">
        <v>6000</v>
      </c>
      <c r="J16" s="7">
        <v>15</v>
      </c>
      <c r="K16" s="7">
        <v>5</v>
      </c>
      <c r="L16" s="11" t="str">
        <f t="shared" si="0"/>
        <v>Kabir</v>
      </c>
      <c r="M16" s="20" t="str">
        <f t="shared" si="1"/>
        <v>2</v>
      </c>
      <c r="N16" s="11" t="str">
        <f t="shared" si="2"/>
        <v>Senior</v>
      </c>
      <c r="O16" s="21">
        <f t="shared" si="3"/>
        <v>90000</v>
      </c>
      <c r="P16" s="27">
        <f t="shared" si="4"/>
        <v>0.57692307692307687</v>
      </c>
      <c r="Q16" s="30">
        <f t="shared" si="5"/>
        <v>0</v>
      </c>
      <c r="R16" s="12" t="s">
        <v>84</v>
      </c>
      <c r="T16" s="12" t="s">
        <v>82</v>
      </c>
      <c r="U16" s="12" t="s">
        <v>84</v>
      </c>
    </row>
    <row r="17" spans="1:21" x14ac:dyDescent="0.3">
      <c r="A17" s="13">
        <v>4</v>
      </c>
      <c r="B17" s="14" t="s">
        <v>85</v>
      </c>
      <c r="C17" s="13" t="s">
        <v>86</v>
      </c>
      <c r="D17" s="13" t="s">
        <v>87</v>
      </c>
      <c r="E17" s="13" t="s">
        <v>75</v>
      </c>
      <c r="F17" s="15">
        <v>44192</v>
      </c>
      <c r="G17" s="16">
        <v>60000</v>
      </c>
      <c r="H17" s="16">
        <v>24000</v>
      </c>
      <c r="I17" s="16">
        <v>6000</v>
      </c>
      <c r="J17" s="13">
        <v>19</v>
      </c>
      <c r="K17" s="13">
        <v>1</v>
      </c>
      <c r="L17" s="11" t="str">
        <f t="shared" si="0"/>
        <v>Meera</v>
      </c>
      <c r="M17" s="20" t="str">
        <f t="shared" si="1"/>
        <v>2</v>
      </c>
      <c r="N17" s="11" t="str">
        <f t="shared" si="2"/>
        <v>Senior</v>
      </c>
      <c r="O17" s="21">
        <f t="shared" si="3"/>
        <v>90000</v>
      </c>
      <c r="P17" s="27">
        <f t="shared" si="4"/>
        <v>0.73076923076923073</v>
      </c>
      <c r="Q17" s="30">
        <f t="shared" si="5"/>
        <v>0</v>
      </c>
      <c r="R17" s="12" t="s">
        <v>88</v>
      </c>
      <c r="T17" s="12" t="s">
        <v>86</v>
      </c>
      <c r="U17" s="12" t="s">
        <v>88</v>
      </c>
    </row>
    <row r="18" spans="1:21" x14ac:dyDescent="0.3">
      <c r="A18" s="7">
        <v>5</v>
      </c>
      <c r="B18" s="8" t="s">
        <v>89</v>
      </c>
      <c r="C18" s="7" t="s">
        <v>90</v>
      </c>
      <c r="D18" s="7" t="s">
        <v>91</v>
      </c>
      <c r="E18" s="7" t="s">
        <v>92</v>
      </c>
      <c r="F18" s="9">
        <v>44638</v>
      </c>
      <c r="G18" s="10">
        <v>35000</v>
      </c>
      <c r="H18" s="10">
        <v>14000</v>
      </c>
      <c r="I18" s="10">
        <v>3500</v>
      </c>
      <c r="J18" s="7">
        <v>17</v>
      </c>
      <c r="K18" s="7">
        <v>2</v>
      </c>
      <c r="L18" s="11" t="str">
        <f t="shared" si="0"/>
        <v>Rohan</v>
      </c>
      <c r="M18" s="20" t="str">
        <f t="shared" si="1"/>
        <v>8</v>
      </c>
      <c r="N18" s="11" t="str">
        <f t="shared" si="2"/>
        <v>Senior</v>
      </c>
      <c r="O18" s="21">
        <f t="shared" si="3"/>
        <v>52500</v>
      </c>
      <c r="P18" s="27">
        <f t="shared" si="4"/>
        <v>0.65384615384615385</v>
      </c>
      <c r="Q18" s="30">
        <f t="shared" si="5"/>
        <v>0</v>
      </c>
      <c r="R18" s="12" t="s">
        <v>93</v>
      </c>
      <c r="T18" s="12" t="s">
        <v>90</v>
      </c>
      <c r="U18" s="12" t="s">
        <v>93</v>
      </c>
    </row>
    <row r="19" spans="1:21" x14ac:dyDescent="0.3">
      <c r="A19" s="13">
        <v>6</v>
      </c>
      <c r="B19" s="14" t="s">
        <v>94</v>
      </c>
      <c r="C19" s="13" t="s">
        <v>95</v>
      </c>
      <c r="D19" s="13" t="s">
        <v>96</v>
      </c>
      <c r="E19" s="13" t="s">
        <v>75</v>
      </c>
      <c r="F19" s="15">
        <v>45652</v>
      </c>
      <c r="G19" s="16">
        <v>45000</v>
      </c>
      <c r="H19" s="16">
        <v>18000</v>
      </c>
      <c r="I19" s="16">
        <v>4500</v>
      </c>
      <c r="J19" s="13">
        <v>16</v>
      </c>
      <c r="K19" s="13">
        <v>3</v>
      </c>
      <c r="L19" s="11" t="str">
        <f t="shared" si="0"/>
        <v>Sneha</v>
      </c>
      <c r="M19" s="20" t="str">
        <f t="shared" si="1"/>
        <v>2</v>
      </c>
      <c r="N19" s="11" t="str">
        <f t="shared" si="2"/>
        <v>Senior</v>
      </c>
      <c r="O19" s="21">
        <f t="shared" si="3"/>
        <v>67500</v>
      </c>
      <c r="P19" s="27">
        <f t="shared" si="4"/>
        <v>0.61538461538461542</v>
      </c>
      <c r="Q19" s="30">
        <f t="shared" si="5"/>
        <v>0</v>
      </c>
      <c r="R19" s="12" t="s">
        <v>97</v>
      </c>
      <c r="T19" s="12" t="s">
        <v>95</v>
      </c>
      <c r="U19" s="12" t="s">
        <v>97</v>
      </c>
    </row>
    <row r="20" spans="1:21" x14ac:dyDescent="0.3">
      <c r="A20" s="7">
        <v>7</v>
      </c>
      <c r="B20" s="8" t="s">
        <v>98</v>
      </c>
      <c r="C20" s="7" t="s">
        <v>73</v>
      </c>
      <c r="D20" s="7" t="s">
        <v>99</v>
      </c>
      <c r="E20" s="7" t="s">
        <v>75</v>
      </c>
      <c r="F20" s="9">
        <v>43043</v>
      </c>
      <c r="G20" s="10">
        <v>50000</v>
      </c>
      <c r="H20" s="10">
        <v>20000</v>
      </c>
      <c r="I20" s="10">
        <v>5000</v>
      </c>
      <c r="J20" s="7">
        <v>23</v>
      </c>
      <c r="K20" s="7">
        <v>1</v>
      </c>
      <c r="L20" s="11" t="str">
        <f t="shared" si="0"/>
        <v>Vikra</v>
      </c>
      <c r="M20" s="20" t="str">
        <f t="shared" si="1"/>
        <v>3</v>
      </c>
      <c r="N20" s="11" t="str">
        <f t="shared" si="2"/>
        <v>Senior</v>
      </c>
      <c r="O20" s="21">
        <f t="shared" si="3"/>
        <v>75000</v>
      </c>
      <c r="P20" s="27">
        <f t="shared" si="4"/>
        <v>0.88461538461538458</v>
      </c>
      <c r="Q20" s="30">
        <f t="shared" si="5"/>
        <v>7500</v>
      </c>
      <c r="R20" s="12" t="s">
        <v>76</v>
      </c>
    </row>
    <row r="21" spans="1:21" x14ac:dyDescent="0.3">
      <c r="A21" s="13">
        <v>8</v>
      </c>
      <c r="B21" s="14" t="s">
        <v>100</v>
      </c>
      <c r="C21" s="13" t="s">
        <v>78</v>
      </c>
      <c r="D21" s="13" t="s">
        <v>79</v>
      </c>
      <c r="E21" s="13" t="s">
        <v>92</v>
      </c>
      <c r="F21" s="15">
        <v>43457</v>
      </c>
      <c r="G21" s="16">
        <v>60000</v>
      </c>
      <c r="H21" s="16">
        <v>24000</v>
      </c>
      <c r="I21" s="16">
        <v>6000</v>
      </c>
      <c r="J21" s="13">
        <v>20</v>
      </c>
      <c r="K21" s="13">
        <v>5</v>
      </c>
      <c r="L21" s="11" t="str">
        <f t="shared" si="0"/>
        <v>Anita</v>
      </c>
      <c r="M21" s="20" t="str">
        <f t="shared" si="1"/>
        <v>7</v>
      </c>
      <c r="N21" s="11" t="str">
        <f t="shared" si="2"/>
        <v>Senior</v>
      </c>
      <c r="O21" s="21">
        <f t="shared" si="3"/>
        <v>90000</v>
      </c>
      <c r="P21" s="27">
        <f t="shared" si="4"/>
        <v>0.76923076923076927</v>
      </c>
      <c r="Q21" s="30">
        <f t="shared" si="5"/>
        <v>0</v>
      </c>
      <c r="R21" s="12" t="s">
        <v>80</v>
      </c>
    </row>
    <row r="22" spans="1:21" x14ac:dyDescent="0.3">
      <c r="A22" s="7">
        <v>9</v>
      </c>
      <c r="B22" s="8" t="s">
        <v>101</v>
      </c>
      <c r="C22" s="7" t="s">
        <v>82</v>
      </c>
      <c r="D22" s="7" t="s">
        <v>83</v>
      </c>
      <c r="E22" s="7" t="s">
        <v>75</v>
      </c>
      <c r="F22" s="9">
        <v>43323</v>
      </c>
      <c r="G22" s="10">
        <v>32000</v>
      </c>
      <c r="H22" s="10">
        <v>12800</v>
      </c>
      <c r="I22" s="10">
        <v>3200</v>
      </c>
      <c r="J22" s="7">
        <v>19</v>
      </c>
      <c r="K22" s="7">
        <v>1</v>
      </c>
      <c r="L22" s="11" t="str">
        <f t="shared" si="0"/>
        <v>Farha</v>
      </c>
      <c r="M22" s="20" t="str">
        <f t="shared" si="1"/>
        <v>3</v>
      </c>
      <c r="N22" s="11" t="str">
        <f t="shared" si="2"/>
        <v>Senior</v>
      </c>
      <c r="O22" s="21">
        <f t="shared" si="3"/>
        <v>48000</v>
      </c>
      <c r="P22" s="27">
        <f t="shared" si="4"/>
        <v>0.73076923076923073</v>
      </c>
      <c r="Q22" s="30">
        <f t="shared" si="5"/>
        <v>0</v>
      </c>
      <c r="R22" s="12" t="s">
        <v>84</v>
      </c>
    </row>
    <row r="23" spans="1:21" x14ac:dyDescent="0.3">
      <c r="A23" s="13">
        <v>10</v>
      </c>
      <c r="B23" s="14" t="s">
        <v>102</v>
      </c>
      <c r="C23" s="13" t="s">
        <v>86</v>
      </c>
      <c r="D23" s="13" t="s">
        <v>103</v>
      </c>
      <c r="E23" s="13" t="s">
        <v>92</v>
      </c>
      <c r="F23" s="15">
        <v>44893</v>
      </c>
      <c r="G23" s="16">
        <v>50000</v>
      </c>
      <c r="H23" s="16">
        <v>20000</v>
      </c>
      <c r="I23" s="16">
        <v>5000</v>
      </c>
      <c r="J23" s="13">
        <v>25</v>
      </c>
      <c r="K23" s="13">
        <v>3</v>
      </c>
      <c r="L23" s="11" t="str">
        <f t="shared" si="0"/>
        <v>Priya</v>
      </c>
      <c r="M23" s="20" t="str">
        <f t="shared" si="1"/>
        <v>3</v>
      </c>
      <c r="N23" s="11" t="str">
        <f t="shared" si="2"/>
        <v>Senior</v>
      </c>
      <c r="O23" s="21">
        <f t="shared" si="3"/>
        <v>75000</v>
      </c>
      <c r="P23" s="27">
        <f t="shared" si="4"/>
        <v>0.96153846153846156</v>
      </c>
      <c r="Q23" s="30">
        <f t="shared" si="5"/>
        <v>7500</v>
      </c>
      <c r="R23" s="12" t="s">
        <v>88</v>
      </c>
    </row>
    <row r="24" spans="1:21" x14ac:dyDescent="0.3">
      <c r="A24" s="7">
        <v>11</v>
      </c>
      <c r="B24" s="8" t="s">
        <v>104</v>
      </c>
      <c r="C24" s="7" t="s">
        <v>90</v>
      </c>
      <c r="D24" s="7" t="s">
        <v>105</v>
      </c>
      <c r="E24" s="7" t="s">
        <v>92</v>
      </c>
      <c r="F24" s="9">
        <v>45173</v>
      </c>
      <c r="G24" s="10">
        <v>35000</v>
      </c>
      <c r="H24" s="10">
        <v>14000</v>
      </c>
      <c r="I24" s="10">
        <v>3500</v>
      </c>
      <c r="J24" s="7">
        <v>26</v>
      </c>
      <c r="K24" s="7">
        <v>1</v>
      </c>
      <c r="L24" s="11" t="str">
        <f t="shared" si="0"/>
        <v>Samee</v>
      </c>
      <c r="M24" s="20" t="str">
        <f t="shared" si="1"/>
        <v>3</v>
      </c>
      <c r="N24" s="11" t="str">
        <f t="shared" si="2"/>
        <v>Senior</v>
      </c>
      <c r="O24" s="21">
        <f t="shared" si="3"/>
        <v>52500</v>
      </c>
      <c r="P24" s="27">
        <f t="shared" si="4"/>
        <v>1</v>
      </c>
      <c r="Q24" s="30">
        <f t="shared" si="5"/>
        <v>5250</v>
      </c>
      <c r="R24" s="12" t="s">
        <v>93</v>
      </c>
    </row>
    <row r="25" spans="1:21" x14ac:dyDescent="0.3">
      <c r="A25" s="13">
        <v>12</v>
      </c>
      <c r="B25" s="14" t="s">
        <v>106</v>
      </c>
      <c r="C25" s="13" t="s">
        <v>95</v>
      </c>
      <c r="D25" s="13" t="s">
        <v>107</v>
      </c>
      <c r="E25" s="13" t="s">
        <v>75</v>
      </c>
      <c r="F25" s="15">
        <v>45362</v>
      </c>
      <c r="G25" s="16">
        <v>50000</v>
      </c>
      <c r="H25" s="16">
        <v>20000</v>
      </c>
      <c r="I25" s="16">
        <v>5000</v>
      </c>
      <c r="J25" s="13">
        <v>21</v>
      </c>
      <c r="K25" s="13">
        <v>3</v>
      </c>
      <c r="L25" s="11" t="str">
        <f t="shared" si="0"/>
        <v xml:space="preserve">Neha </v>
      </c>
      <c r="M25" s="20" t="str">
        <f t="shared" si="1"/>
        <v>2</v>
      </c>
      <c r="N25" s="11" t="str">
        <f t="shared" si="2"/>
        <v>Senior</v>
      </c>
      <c r="O25" s="21">
        <f t="shared" si="3"/>
        <v>75000</v>
      </c>
      <c r="P25" s="27">
        <f t="shared" si="4"/>
        <v>0.80769230769230771</v>
      </c>
      <c r="Q25" s="30">
        <f t="shared" si="5"/>
        <v>7500</v>
      </c>
      <c r="R25" s="12" t="s">
        <v>97</v>
      </c>
    </row>
    <row r="26" spans="1:21" x14ac:dyDescent="0.3">
      <c r="A26" s="7">
        <v>13</v>
      </c>
      <c r="B26" s="8" t="s">
        <v>108</v>
      </c>
      <c r="C26" s="7" t="s">
        <v>73</v>
      </c>
      <c r="D26" s="7" t="s">
        <v>74</v>
      </c>
      <c r="E26" s="7" t="s">
        <v>92</v>
      </c>
      <c r="F26" s="9">
        <v>45802</v>
      </c>
      <c r="G26" s="10">
        <v>32000</v>
      </c>
      <c r="H26" s="10">
        <v>12800</v>
      </c>
      <c r="I26" s="10">
        <v>3200</v>
      </c>
      <c r="J26" s="7">
        <v>15</v>
      </c>
      <c r="K26" s="7">
        <v>3</v>
      </c>
      <c r="L26" s="11" t="str">
        <f t="shared" si="0"/>
        <v>Arjun</v>
      </c>
      <c r="M26" s="20" t="str">
        <f t="shared" si="1"/>
        <v>2</v>
      </c>
      <c r="N26" s="11" t="str">
        <f t="shared" si="2"/>
        <v>Senior</v>
      </c>
      <c r="O26" s="21">
        <f t="shared" si="3"/>
        <v>48000</v>
      </c>
      <c r="P26" s="27">
        <f t="shared" si="4"/>
        <v>0.57692307692307687</v>
      </c>
      <c r="Q26" s="30">
        <f t="shared" si="5"/>
        <v>0</v>
      </c>
      <c r="R26" s="12" t="s">
        <v>76</v>
      </c>
    </row>
    <row r="27" spans="1:21" x14ac:dyDescent="0.3">
      <c r="A27" s="13">
        <v>14</v>
      </c>
      <c r="B27" s="14" t="s">
        <v>109</v>
      </c>
      <c r="C27" s="13" t="s">
        <v>78</v>
      </c>
      <c r="D27" s="13" t="s">
        <v>110</v>
      </c>
      <c r="E27" s="13" t="s">
        <v>75</v>
      </c>
      <c r="F27" s="15">
        <v>45167</v>
      </c>
      <c r="G27" s="16">
        <v>60000</v>
      </c>
      <c r="H27" s="16">
        <v>24000</v>
      </c>
      <c r="I27" s="16">
        <v>6000</v>
      </c>
      <c r="J27" s="13">
        <v>26</v>
      </c>
      <c r="K27" s="13">
        <v>3</v>
      </c>
      <c r="L27" s="11" t="str">
        <f t="shared" si="0"/>
        <v>Kavya</v>
      </c>
      <c r="M27" s="20" t="str">
        <f t="shared" si="1"/>
        <v>7</v>
      </c>
      <c r="N27" s="11" t="str">
        <f t="shared" si="2"/>
        <v>Senior</v>
      </c>
      <c r="O27" s="21">
        <f t="shared" si="3"/>
        <v>90000</v>
      </c>
      <c r="P27" s="27">
        <f t="shared" si="4"/>
        <v>1</v>
      </c>
      <c r="Q27" s="30">
        <f t="shared" si="5"/>
        <v>9000</v>
      </c>
      <c r="R27" s="12" t="s">
        <v>80</v>
      </c>
    </row>
    <row r="28" spans="1:21" x14ac:dyDescent="0.3">
      <c r="A28" s="7">
        <v>15</v>
      </c>
      <c r="B28" s="8" t="s">
        <v>111</v>
      </c>
      <c r="C28" s="7" t="s">
        <v>82</v>
      </c>
      <c r="D28" s="7" t="s">
        <v>112</v>
      </c>
      <c r="E28" s="7" t="s">
        <v>92</v>
      </c>
      <c r="F28" s="9">
        <v>43398</v>
      </c>
      <c r="G28" s="10">
        <v>50000</v>
      </c>
      <c r="H28" s="10">
        <v>20000</v>
      </c>
      <c r="I28" s="10">
        <v>5000</v>
      </c>
      <c r="J28" s="7">
        <v>17</v>
      </c>
      <c r="K28" s="7">
        <v>3</v>
      </c>
      <c r="L28" s="11" t="str">
        <f t="shared" si="0"/>
        <v>Ishaa</v>
      </c>
      <c r="M28" s="20" t="str">
        <f t="shared" si="1"/>
        <v>8</v>
      </c>
      <c r="N28" s="11" t="str">
        <f t="shared" si="2"/>
        <v>Senior</v>
      </c>
      <c r="O28" s="21">
        <f t="shared" si="3"/>
        <v>75000</v>
      </c>
      <c r="P28" s="27">
        <f t="shared" si="4"/>
        <v>0.65384615384615385</v>
      </c>
      <c r="Q28" s="30">
        <f t="shared" si="5"/>
        <v>0</v>
      </c>
      <c r="R28" s="12" t="s">
        <v>84</v>
      </c>
    </row>
    <row r="29" spans="1:21" x14ac:dyDescent="0.3">
      <c r="A29" s="13">
        <v>16</v>
      </c>
      <c r="B29" s="14" t="s">
        <v>113</v>
      </c>
      <c r="C29" s="13" t="s">
        <v>86</v>
      </c>
      <c r="D29" s="13" t="s">
        <v>103</v>
      </c>
      <c r="E29" s="13" t="s">
        <v>92</v>
      </c>
      <c r="F29" s="15">
        <v>43637</v>
      </c>
      <c r="G29" s="16">
        <v>45000</v>
      </c>
      <c r="H29" s="16">
        <v>18000</v>
      </c>
      <c r="I29" s="16">
        <v>4500</v>
      </c>
      <c r="J29" s="13">
        <v>24</v>
      </c>
      <c r="K29" s="13">
        <v>4</v>
      </c>
      <c r="L29" s="11" t="str">
        <f t="shared" si="0"/>
        <v>Tanya</v>
      </c>
      <c r="M29" s="20" t="str">
        <f t="shared" si="1"/>
        <v>7</v>
      </c>
      <c r="N29" s="11" t="str">
        <f t="shared" si="2"/>
        <v>Senior</v>
      </c>
      <c r="O29" s="21">
        <f t="shared" si="3"/>
        <v>67500</v>
      </c>
      <c r="P29" s="27">
        <f t="shared" si="4"/>
        <v>0.92307692307692313</v>
      </c>
      <c r="Q29" s="30">
        <f t="shared" si="5"/>
        <v>6750</v>
      </c>
      <c r="R29" s="12" t="s">
        <v>88</v>
      </c>
    </row>
    <row r="30" spans="1:21" x14ac:dyDescent="0.3">
      <c r="A30" s="7">
        <v>17</v>
      </c>
      <c r="B30" s="8" t="s">
        <v>114</v>
      </c>
      <c r="C30" s="7" t="s">
        <v>90</v>
      </c>
      <c r="D30" s="7" t="s">
        <v>91</v>
      </c>
      <c r="E30" s="7" t="s">
        <v>75</v>
      </c>
      <c r="F30" s="9">
        <v>43944</v>
      </c>
      <c r="G30" s="10">
        <v>50000</v>
      </c>
      <c r="H30" s="10">
        <v>20000</v>
      </c>
      <c r="I30" s="10">
        <v>5000</v>
      </c>
      <c r="J30" s="7">
        <v>16</v>
      </c>
      <c r="K30" s="7">
        <v>1</v>
      </c>
      <c r="L30" s="11" t="str">
        <f t="shared" si="0"/>
        <v>Yusuf</v>
      </c>
      <c r="M30" s="20" t="str">
        <f t="shared" si="1"/>
        <v>4</v>
      </c>
      <c r="N30" s="11" t="str">
        <f t="shared" si="2"/>
        <v>Senior</v>
      </c>
      <c r="O30" s="21">
        <f t="shared" si="3"/>
        <v>75000</v>
      </c>
      <c r="P30" s="27">
        <f t="shared" si="4"/>
        <v>0.61538461538461542</v>
      </c>
      <c r="Q30" s="30">
        <f t="shared" si="5"/>
        <v>0</v>
      </c>
      <c r="R30" s="12" t="s">
        <v>93</v>
      </c>
    </row>
    <row r="31" spans="1:21" x14ac:dyDescent="0.3">
      <c r="A31" s="13">
        <v>18</v>
      </c>
      <c r="B31" s="14" t="s">
        <v>115</v>
      </c>
      <c r="C31" s="13" t="s">
        <v>95</v>
      </c>
      <c r="D31" s="13" t="s">
        <v>107</v>
      </c>
      <c r="E31" s="13" t="s">
        <v>75</v>
      </c>
      <c r="F31" s="15">
        <v>43244</v>
      </c>
      <c r="G31" s="16">
        <v>45000</v>
      </c>
      <c r="H31" s="16">
        <v>18000</v>
      </c>
      <c r="I31" s="16">
        <v>4500</v>
      </c>
      <c r="J31" s="13">
        <v>24</v>
      </c>
      <c r="K31" s="13">
        <v>1</v>
      </c>
      <c r="L31" s="11" t="str">
        <f t="shared" si="0"/>
        <v>Pooja</v>
      </c>
      <c r="M31" s="20" t="str">
        <f t="shared" si="1"/>
        <v>4</v>
      </c>
      <c r="N31" s="11" t="str">
        <f t="shared" si="2"/>
        <v>Senior</v>
      </c>
      <c r="O31" s="21">
        <f t="shared" si="3"/>
        <v>67500</v>
      </c>
      <c r="P31" s="27">
        <f t="shared" si="4"/>
        <v>0.92307692307692313</v>
      </c>
      <c r="Q31" s="30">
        <f t="shared" si="5"/>
        <v>6750</v>
      </c>
      <c r="R31" s="12" t="s">
        <v>97</v>
      </c>
    </row>
    <row r="32" spans="1:21" x14ac:dyDescent="0.3">
      <c r="A32" s="7">
        <v>19</v>
      </c>
      <c r="B32" s="8" t="s">
        <v>116</v>
      </c>
      <c r="C32" s="7" t="s">
        <v>73</v>
      </c>
      <c r="D32" s="7" t="s">
        <v>99</v>
      </c>
      <c r="E32" s="7" t="s">
        <v>92</v>
      </c>
      <c r="F32" s="9">
        <v>43864</v>
      </c>
      <c r="G32" s="10">
        <v>35000</v>
      </c>
      <c r="H32" s="10">
        <v>14000</v>
      </c>
      <c r="I32" s="10">
        <v>3500</v>
      </c>
      <c r="J32" s="7">
        <v>23</v>
      </c>
      <c r="K32" s="7">
        <v>1</v>
      </c>
      <c r="L32" s="11" t="str">
        <f t="shared" si="0"/>
        <v>Rahul</v>
      </c>
      <c r="M32" s="20" t="str">
        <f t="shared" si="1"/>
        <v>4</v>
      </c>
      <c r="N32" s="11" t="str">
        <f t="shared" si="2"/>
        <v>Senior</v>
      </c>
      <c r="O32" s="21">
        <f t="shared" si="3"/>
        <v>52500</v>
      </c>
      <c r="P32" s="27">
        <f t="shared" si="4"/>
        <v>0.88461538461538458</v>
      </c>
      <c r="Q32" s="30">
        <f t="shared" si="5"/>
        <v>5250</v>
      </c>
      <c r="R32" s="12" t="s">
        <v>76</v>
      </c>
    </row>
    <row r="33" spans="1:18" x14ac:dyDescent="0.3">
      <c r="A33" s="13">
        <v>20</v>
      </c>
      <c r="B33" s="14" t="s">
        <v>117</v>
      </c>
      <c r="C33" s="13" t="s">
        <v>78</v>
      </c>
      <c r="D33" s="13" t="s">
        <v>79</v>
      </c>
      <c r="E33" s="13" t="s">
        <v>92</v>
      </c>
      <c r="F33" s="15">
        <v>43406</v>
      </c>
      <c r="G33" s="16">
        <v>40000</v>
      </c>
      <c r="H33" s="16">
        <v>16000</v>
      </c>
      <c r="I33" s="16">
        <v>4000</v>
      </c>
      <c r="J33" s="13">
        <v>16</v>
      </c>
      <c r="K33" s="13">
        <v>3</v>
      </c>
      <c r="L33" s="11" t="str">
        <f t="shared" si="0"/>
        <v>Simra</v>
      </c>
      <c r="M33" s="20" t="str">
        <f t="shared" si="1"/>
        <v>6</v>
      </c>
      <c r="N33" s="11" t="str">
        <f t="shared" si="2"/>
        <v>Senior</v>
      </c>
      <c r="O33" s="21">
        <f t="shared" si="3"/>
        <v>60000</v>
      </c>
      <c r="P33" s="27">
        <f t="shared" si="4"/>
        <v>0.61538461538461542</v>
      </c>
      <c r="Q33" s="30">
        <f t="shared" si="5"/>
        <v>0</v>
      </c>
      <c r="R33" s="12" t="s">
        <v>80</v>
      </c>
    </row>
    <row r="34" spans="1:18" x14ac:dyDescent="0.3">
      <c r="A34" s="7">
        <v>21</v>
      </c>
      <c r="B34" s="8" t="s">
        <v>118</v>
      </c>
      <c r="C34" s="7" t="s">
        <v>82</v>
      </c>
      <c r="D34" s="7" t="s">
        <v>83</v>
      </c>
      <c r="E34" s="7" t="s">
        <v>92</v>
      </c>
      <c r="F34" s="9">
        <v>46018</v>
      </c>
      <c r="G34" s="10">
        <v>35000</v>
      </c>
      <c r="H34" s="10">
        <v>14000</v>
      </c>
      <c r="I34" s="10">
        <v>3500</v>
      </c>
      <c r="J34" s="7">
        <v>23</v>
      </c>
      <c r="K34" s="7">
        <v>2</v>
      </c>
      <c r="L34" s="11" t="str">
        <f t="shared" si="0"/>
        <v>Dev J</v>
      </c>
      <c r="M34" s="20" t="str">
        <f t="shared" si="1"/>
        <v>8</v>
      </c>
      <c r="N34" s="11" t="str">
        <f t="shared" si="2"/>
        <v>Senior</v>
      </c>
      <c r="O34" s="21">
        <f t="shared" si="3"/>
        <v>52500</v>
      </c>
      <c r="P34" s="27">
        <f t="shared" si="4"/>
        <v>0.88461538461538458</v>
      </c>
      <c r="Q34" s="30">
        <f t="shared" si="5"/>
        <v>5250</v>
      </c>
      <c r="R34" s="12" t="s">
        <v>84</v>
      </c>
    </row>
    <row r="35" spans="1:18" x14ac:dyDescent="0.3">
      <c r="A35" s="13">
        <v>22</v>
      </c>
      <c r="B35" s="14" t="s">
        <v>119</v>
      </c>
      <c r="C35" s="13" t="s">
        <v>86</v>
      </c>
      <c r="D35" s="13" t="s">
        <v>103</v>
      </c>
      <c r="E35" s="13" t="s">
        <v>92</v>
      </c>
      <c r="F35" s="15">
        <v>43414</v>
      </c>
      <c r="G35" s="16">
        <v>55000</v>
      </c>
      <c r="H35" s="16">
        <v>22000</v>
      </c>
      <c r="I35" s="16">
        <v>5500</v>
      </c>
      <c r="J35" s="13">
        <v>24</v>
      </c>
      <c r="K35" s="13">
        <v>2</v>
      </c>
      <c r="L35" s="11" t="str">
        <f t="shared" si="0"/>
        <v>Alish</v>
      </c>
      <c r="M35" s="20" t="str">
        <f t="shared" si="1"/>
        <v>4</v>
      </c>
      <c r="N35" s="11" t="str">
        <f t="shared" si="2"/>
        <v>Senior</v>
      </c>
      <c r="O35" s="21">
        <f t="shared" si="3"/>
        <v>82500</v>
      </c>
      <c r="P35" s="27">
        <f t="shared" si="4"/>
        <v>0.92307692307692313</v>
      </c>
      <c r="Q35" s="30">
        <f t="shared" si="5"/>
        <v>8250</v>
      </c>
      <c r="R35" s="12" t="s">
        <v>88</v>
      </c>
    </row>
    <row r="36" spans="1:18" x14ac:dyDescent="0.3">
      <c r="A36" s="7">
        <v>23</v>
      </c>
      <c r="B36" s="8" t="s">
        <v>120</v>
      </c>
      <c r="C36" s="7" t="s">
        <v>90</v>
      </c>
      <c r="D36" s="7" t="s">
        <v>105</v>
      </c>
      <c r="E36" s="7" t="s">
        <v>75</v>
      </c>
      <c r="F36" s="9">
        <v>43822</v>
      </c>
      <c r="G36" s="10">
        <v>55000</v>
      </c>
      <c r="H36" s="10">
        <v>22000</v>
      </c>
      <c r="I36" s="10">
        <v>5500</v>
      </c>
      <c r="J36" s="7">
        <v>15</v>
      </c>
      <c r="K36" s="7">
        <v>5</v>
      </c>
      <c r="L36" s="11" t="str">
        <f t="shared" si="0"/>
        <v>Manav</v>
      </c>
      <c r="M36" s="20" t="str">
        <f t="shared" si="1"/>
        <v>2</v>
      </c>
      <c r="N36" s="11" t="str">
        <f t="shared" si="2"/>
        <v>Senior</v>
      </c>
      <c r="O36" s="21">
        <f t="shared" si="3"/>
        <v>82500</v>
      </c>
      <c r="P36" s="27">
        <f t="shared" si="4"/>
        <v>0.57692307692307687</v>
      </c>
      <c r="Q36" s="30">
        <f t="shared" si="5"/>
        <v>0</v>
      </c>
      <c r="R36" s="12" t="s">
        <v>93</v>
      </c>
    </row>
    <row r="37" spans="1:18" x14ac:dyDescent="0.3">
      <c r="A37" s="13">
        <v>24</v>
      </c>
      <c r="B37" s="14" t="s">
        <v>121</v>
      </c>
      <c r="C37" s="13" t="s">
        <v>95</v>
      </c>
      <c r="D37" s="13" t="s">
        <v>96</v>
      </c>
      <c r="E37" s="13" t="s">
        <v>75</v>
      </c>
      <c r="F37" s="15">
        <v>45573</v>
      </c>
      <c r="G37" s="16">
        <v>40000</v>
      </c>
      <c r="H37" s="16">
        <v>16000</v>
      </c>
      <c r="I37" s="16">
        <v>4000</v>
      </c>
      <c r="J37" s="13">
        <v>19</v>
      </c>
      <c r="K37" s="13">
        <v>2</v>
      </c>
      <c r="L37" s="11" t="str">
        <f t="shared" si="0"/>
        <v xml:space="preserve">Ritu </v>
      </c>
      <c r="M37" s="20" t="str">
        <f t="shared" si="1"/>
        <v>3</v>
      </c>
      <c r="N37" s="11" t="str">
        <f t="shared" si="2"/>
        <v>Senior</v>
      </c>
      <c r="O37" s="21">
        <f t="shared" si="3"/>
        <v>60000</v>
      </c>
      <c r="P37" s="27">
        <f t="shared" si="4"/>
        <v>0.73076923076923073</v>
      </c>
      <c r="Q37" s="30">
        <f t="shared" si="5"/>
        <v>0</v>
      </c>
      <c r="R37" s="12" t="s">
        <v>97</v>
      </c>
    </row>
    <row r="38" spans="1:18" x14ac:dyDescent="0.3">
      <c r="A38" s="7">
        <v>25</v>
      </c>
      <c r="B38" s="8" t="s">
        <v>122</v>
      </c>
      <c r="C38" s="7" t="s">
        <v>73</v>
      </c>
      <c r="D38" s="7" t="s">
        <v>74</v>
      </c>
      <c r="E38" s="7" t="s">
        <v>75</v>
      </c>
      <c r="F38" s="9">
        <v>45681</v>
      </c>
      <c r="G38" s="10">
        <v>50000</v>
      </c>
      <c r="H38" s="10">
        <v>20000</v>
      </c>
      <c r="I38" s="10">
        <v>5000</v>
      </c>
      <c r="J38" s="7">
        <v>16</v>
      </c>
      <c r="K38" s="7">
        <v>5</v>
      </c>
      <c r="L38" s="11" t="str">
        <f t="shared" si="0"/>
        <v xml:space="preserve">Zoya </v>
      </c>
      <c r="M38" s="20" t="str">
        <f t="shared" si="1"/>
        <v>1</v>
      </c>
      <c r="N38" s="11" t="str">
        <f t="shared" si="2"/>
        <v>Senior</v>
      </c>
      <c r="O38" s="21">
        <f t="shared" si="3"/>
        <v>75000</v>
      </c>
      <c r="P38" s="27">
        <f t="shared" si="4"/>
        <v>0.61538461538461542</v>
      </c>
      <c r="Q38" s="30">
        <f t="shared" si="5"/>
        <v>0</v>
      </c>
      <c r="R38" s="12" t="s">
        <v>76</v>
      </c>
    </row>
  </sheetData>
  <mergeCells count="12">
    <mergeCell ref="B11:R11"/>
    <mergeCell ref="T12:U12"/>
    <mergeCell ref="B6:R6"/>
    <mergeCell ref="B7:R7"/>
    <mergeCell ref="B8:R8"/>
    <mergeCell ref="B9:R9"/>
    <mergeCell ref="B10:R10"/>
    <mergeCell ref="A1:R1"/>
    <mergeCell ref="A2:R2"/>
    <mergeCell ref="A3:R3"/>
    <mergeCell ref="B4:R4"/>
    <mergeCell ref="B5:R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showGridLines="0" topLeftCell="A23" zoomScaleNormal="100" workbookViewId="0">
      <selection activeCell="B34" sqref="B34"/>
    </sheetView>
  </sheetViews>
  <sheetFormatPr defaultColWidth="8.6640625" defaultRowHeight="14.4" x14ac:dyDescent="0.3"/>
  <cols>
    <col min="1" max="1" width="26" customWidth="1"/>
    <col min="2" max="2" width="16" customWidth="1"/>
    <col min="3" max="3" width="26" customWidth="1"/>
    <col min="4" max="4" width="16" customWidth="1"/>
    <col min="5" max="5" width="40" customWidth="1"/>
  </cols>
  <sheetData>
    <row r="1" spans="1:5" ht="21.75" customHeight="1" x14ac:dyDescent="0.3">
      <c r="A1" s="38" t="s">
        <v>123</v>
      </c>
      <c r="B1" s="38"/>
      <c r="C1" s="38"/>
      <c r="D1" s="38"/>
      <c r="E1" s="38"/>
    </row>
    <row r="2" spans="1:5" ht="15" customHeight="1" x14ac:dyDescent="0.3">
      <c r="A2" s="43" t="s">
        <v>124</v>
      </c>
      <c r="B2" s="43"/>
      <c r="C2" s="43"/>
      <c r="D2" s="43"/>
      <c r="E2" s="43"/>
    </row>
    <row r="3" spans="1:5" x14ac:dyDescent="0.3">
      <c r="A3" s="43"/>
      <c r="B3" s="43"/>
      <c r="C3" s="43"/>
      <c r="D3" s="43"/>
      <c r="E3" s="43"/>
    </row>
    <row r="5" spans="1:5" x14ac:dyDescent="0.3">
      <c r="A5" s="44" t="s">
        <v>125</v>
      </c>
      <c r="B5" s="44"/>
    </row>
    <row r="6" spans="1:5" x14ac:dyDescent="0.3">
      <c r="A6" s="37" t="s">
        <v>126</v>
      </c>
      <c r="B6" s="37"/>
      <c r="C6" s="37"/>
      <c r="D6" s="37"/>
      <c r="E6" s="37"/>
    </row>
    <row r="7" spans="1:5" x14ac:dyDescent="0.3">
      <c r="A7" s="6" t="s">
        <v>55</v>
      </c>
      <c r="B7" s="6" t="s">
        <v>127</v>
      </c>
    </row>
    <row r="8" spans="1:5" x14ac:dyDescent="0.3">
      <c r="A8" s="17" t="s">
        <v>73</v>
      </c>
      <c r="B8" s="18">
        <f>COUNTIF('Employee Data'!C14:C38,'Employee Data'!C26)</f>
        <v>5</v>
      </c>
    </row>
    <row r="9" spans="1:5" x14ac:dyDescent="0.3">
      <c r="A9" s="17" t="s">
        <v>78</v>
      </c>
      <c r="B9" s="18">
        <f>COUNTIF('Employee Data'!C14:C38,'Employee Data'!C27)</f>
        <v>4</v>
      </c>
    </row>
    <row r="10" spans="1:5" x14ac:dyDescent="0.3">
      <c r="A10" s="17" t="s">
        <v>82</v>
      </c>
      <c r="B10" s="18">
        <f>COUNTIF('Employee Data'!C25:C38,'Employee Data'!C28)</f>
        <v>2</v>
      </c>
    </row>
    <row r="11" spans="1:5" x14ac:dyDescent="0.3">
      <c r="A11" s="17" t="s">
        <v>86</v>
      </c>
      <c r="B11" s="18">
        <f>COUNTIF('Employee Data'!C25:C38,'Employee Data'!C29)</f>
        <v>2</v>
      </c>
    </row>
    <row r="12" spans="1:5" x14ac:dyDescent="0.3">
      <c r="A12" s="17" t="s">
        <v>90</v>
      </c>
      <c r="B12" s="18">
        <f>COUNTIF('Employee Data'!C14:C38,'Employee Data'!C30)</f>
        <v>4</v>
      </c>
    </row>
    <row r="13" spans="1:5" x14ac:dyDescent="0.3">
      <c r="A13" s="17" t="s">
        <v>95</v>
      </c>
      <c r="B13" s="18">
        <f>COUNTIF('Employee Data'!C14:C38,'Employee Data'!C25)</f>
        <v>4</v>
      </c>
    </row>
    <row r="15" spans="1:5" x14ac:dyDescent="0.3">
      <c r="A15" s="44" t="s">
        <v>128</v>
      </c>
      <c r="B15" s="44"/>
    </row>
    <row r="16" spans="1:5" x14ac:dyDescent="0.3">
      <c r="A16" s="37" t="s">
        <v>129</v>
      </c>
      <c r="B16" s="37"/>
      <c r="C16" s="37"/>
      <c r="D16" s="37"/>
      <c r="E16" s="37"/>
    </row>
    <row r="17" spans="1:5" x14ac:dyDescent="0.3">
      <c r="A17" s="6" t="s">
        <v>55</v>
      </c>
      <c r="B17" s="6" t="s">
        <v>130</v>
      </c>
    </row>
    <row r="18" spans="1:5" x14ac:dyDescent="0.3">
      <c r="A18" s="17" t="s">
        <v>73</v>
      </c>
      <c r="B18" s="19"/>
    </row>
    <row r="19" spans="1:5" x14ac:dyDescent="0.3">
      <c r="A19" s="17" t="s">
        <v>78</v>
      </c>
      <c r="B19" s="19"/>
    </row>
    <row r="20" spans="1:5" x14ac:dyDescent="0.3">
      <c r="A20" s="17" t="s">
        <v>82</v>
      </c>
      <c r="B20" s="19"/>
    </row>
    <row r="21" spans="1:5" x14ac:dyDescent="0.3">
      <c r="A21" s="17" t="s">
        <v>86</v>
      </c>
      <c r="B21" s="19"/>
    </row>
    <row r="22" spans="1:5" x14ac:dyDescent="0.3">
      <c r="A22" s="17" t="s">
        <v>90</v>
      </c>
      <c r="B22" s="19"/>
    </row>
    <row r="23" spans="1:5" x14ac:dyDescent="0.3">
      <c r="A23" s="17" t="s">
        <v>95</v>
      </c>
      <c r="B23" s="19"/>
    </row>
    <row r="25" spans="1:5" x14ac:dyDescent="0.3">
      <c r="A25" s="44" t="s">
        <v>131</v>
      </c>
      <c r="B25" s="44"/>
    </row>
    <row r="26" spans="1:5" x14ac:dyDescent="0.3">
      <c r="A26" s="37" t="s">
        <v>132</v>
      </c>
      <c r="B26" s="37"/>
      <c r="C26" s="37"/>
      <c r="D26" s="37"/>
      <c r="E26" s="37"/>
    </row>
    <row r="27" spans="1:5" x14ac:dyDescent="0.3">
      <c r="A27" s="17" t="s">
        <v>75</v>
      </c>
      <c r="B27" s="18"/>
    </row>
    <row r="28" spans="1:5" x14ac:dyDescent="0.3">
      <c r="A28" s="17" t="s">
        <v>92</v>
      </c>
      <c r="B28" s="18"/>
    </row>
    <row r="30" spans="1:5" x14ac:dyDescent="0.3">
      <c r="A30" s="44" t="s">
        <v>133</v>
      </c>
      <c r="B30" s="44"/>
    </row>
    <row r="31" spans="1:5" x14ac:dyDescent="0.3">
      <c r="A31" s="37" t="s">
        <v>134</v>
      </c>
      <c r="B31" s="37"/>
      <c r="C31" s="37"/>
      <c r="D31" s="37"/>
      <c r="E31" s="37"/>
    </row>
    <row r="32" spans="1:5" x14ac:dyDescent="0.3">
      <c r="A32" s="17" t="s">
        <v>135</v>
      </c>
      <c r="B32" s="19">
        <f>MAX('Employee Data'!O14:O38)</f>
        <v>90000</v>
      </c>
    </row>
    <row r="33" spans="1:5" x14ac:dyDescent="0.3">
      <c r="A33" s="17" t="s">
        <v>136</v>
      </c>
      <c r="B33" s="19">
        <f>MIN('Employee Data'!O14:O38)</f>
        <v>48000</v>
      </c>
    </row>
    <row r="35" spans="1:5" x14ac:dyDescent="0.3">
      <c r="A35" s="44" t="s">
        <v>137</v>
      </c>
      <c r="B35" s="44"/>
    </row>
    <row r="36" spans="1:5" x14ac:dyDescent="0.3">
      <c r="A36" s="37" t="s">
        <v>138</v>
      </c>
      <c r="B36" s="37"/>
      <c r="C36" s="37"/>
      <c r="D36" s="37"/>
      <c r="E36" s="37"/>
    </row>
    <row r="37" spans="1:5" x14ac:dyDescent="0.3">
      <c r="A37" s="17" t="s">
        <v>139</v>
      </c>
      <c r="B37" s="18"/>
    </row>
    <row r="39" spans="1:5" x14ac:dyDescent="0.3">
      <c r="A39" s="44" t="s">
        <v>140</v>
      </c>
      <c r="B39" s="44"/>
    </row>
    <row r="40" spans="1:5" ht="30" customHeight="1" x14ac:dyDescent="0.3">
      <c r="A40" s="37" t="s">
        <v>141</v>
      </c>
      <c r="B40" s="37"/>
      <c r="C40" s="37"/>
      <c r="D40" s="37"/>
      <c r="E40" s="37"/>
    </row>
  </sheetData>
  <mergeCells count="14">
    <mergeCell ref="A35:B35"/>
    <mergeCell ref="A36:E36"/>
    <mergeCell ref="A39:B39"/>
    <mergeCell ref="A40:E40"/>
    <mergeCell ref="A16:E16"/>
    <mergeCell ref="A25:B25"/>
    <mergeCell ref="A26:E26"/>
    <mergeCell ref="A30:B30"/>
    <mergeCell ref="A31:E31"/>
    <mergeCell ref="A1:E1"/>
    <mergeCell ref="A2:E3"/>
    <mergeCell ref="A5:B5"/>
    <mergeCell ref="A6:E6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Employee Data</vt:lpstr>
      <vt:lpstr>HR Summary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muhammed aflah</cp:lastModifiedBy>
  <cp:revision>0</cp:revision>
  <dcterms:created xsi:type="dcterms:W3CDTF">2026-07-29T02:10:46Z</dcterms:created>
  <dcterms:modified xsi:type="dcterms:W3CDTF">2026-07-29T05:37:54Z</dcterms:modified>
  <dc:language>en-US</dc:language>
</cp:coreProperties>
</file>